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AndroidApp\tags\test case\资料\"/>
    </mc:Choice>
  </mc:AlternateContent>
  <bookViews>
    <workbookView xWindow="0" yWindow="0" windowWidth="28680" windowHeight="12630" tabRatio="500"/>
  </bookViews>
  <sheets>
    <sheet name="Sheet1" sheetId="1" r:id="rId1"/>
  </sheets>
  <calcPr calcId="152511" concurrentCalc="0"/>
</workbook>
</file>

<file path=xl/calcChain.xml><?xml version="1.0" encoding="utf-8"?>
<calcChain xmlns="http://schemas.openxmlformats.org/spreadsheetml/2006/main">
  <c r="C8" i="1" l="1"/>
  <c r="G21" i="1"/>
  <c r="G20" i="1"/>
  <c r="G17" i="1"/>
  <c r="G16" i="1"/>
  <c r="G15" i="1"/>
  <c r="G14" i="1"/>
  <c r="H13" i="1"/>
  <c r="G13" i="1"/>
  <c r="H12" i="1"/>
  <c r="G12" i="1"/>
  <c r="H11" i="1"/>
  <c r="G11" i="1"/>
</calcChain>
</file>

<file path=xl/sharedStrings.xml><?xml version="1.0" encoding="utf-8"?>
<sst xmlns="http://schemas.openxmlformats.org/spreadsheetml/2006/main" count="28" uniqueCount="28">
  <si>
    <t>美车师结算价＝</t>
  </si>
  <si>
    <t>标牌价＊结算折扣率＊［1-（普通发票税率＋支付渠道费率＋平台使用费率）］</t>
  </si>
  <si>
    <t>结算折扣率：</t>
  </si>
  <si>
    <t>普通发票税率：</t>
  </si>
  <si>
    <t>支付渠道费率：</t>
  </si>
  <si>
    <t>平台使用费率：</t>
  </si>
  <si>
    <t>整体折扣系数：</t>
  </si>
  <si>
    <t>套餐名称</t>
  </si>
  <si>
    <t>服务器地址</t>
  </si>
  <si>
    <t>价格(五座）</t>
  </si>
  <si>
    <t>价格(七座）</t>
  </si>
  <si>
    <t>市场价</t>
  </si>
  <si>
    <t>美车师结算价(五座）</t>
  </si>
  <si>
    <t>美车师结算价(七座）</t>
  </si>
  <si>
    <t>【测试端】实际结算价</t>
  </si>
  <si>
    <t>外观手工水蜡精洗</t>
  </si>
  <si>
    <t>25/35</t>
  </si>
  <si>
    <t>外观手工水蜡精洗＋内饰清洁</t>
  </si>
  <si>
    <t>35/45</t>
  </si>
  <si>
    <t>离子覆膜精洗＋内饰清洁</t>
  </si>
  <si>
    <t>50/60</t>
  </si>
  <si>
    <t>龟牌冰蜡套餐</t>
  </si>
  <si>
    <t>龟牌冰蜡</t>
  </si>
  <si>
    <t>漆面至尊护理套餐</t>
  </si>
  <si>
    <t>内饰深度护理套餐</t>
  </si>
  <si>
    <t>离子覆膜洗车</t>
  </si>
  <si>
    <t>轮毂深度精洗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</si>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</sst>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8" formatCode="0.00;[Red]0.00"/>
    <numFmt numFmtId="179" formatCode="0.0000;[Red]0.0000"/>
  </numFmts>
  <fonts count="8" x14ac:knownFonts="1">
    <font>
      <sz val="12"/>
      <color indexed="8"/>
      <name val="宋体"/>
      <charset val="134"/>
    </font>
    <font>
      <b/>
      <sz val="12"/>
      <color indexed="8"/>
      <name val="宋体"/>
      <charset val="134"/>
    </font>
    <font>
      <b/>
      <sz val="12"/>
      <color indexed="9"/>
      <name val="宋体"/>
      <charset val="134"/>
    </font>
    <font>
      <b/>
      <sz val="14"/>
      <color indexed="8"/>
      <name val="宋体"/>
      <charset val="134"/>
    </font>
    <font>
      <sz val="14"/>
      <color indexed="8"/>
      <name val="宋体"/>
      <charset val="134"/>
    </font>
    <font>
      <sz val="12"/>
      <color indexed="9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Font="1" applyAlignment="1">
      <alignment horizontal="right"/>
    </xf>
    <xf numFmtId="179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/>
    <xf numFmtId="0" fontId="4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/>
    </xf>
    <xf numFmtId="178" fontId="5" fillId="3" borderId="5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8" fontId="5" fillId="3" borderId="5" xfId="0" applyNumberFormat="1" applyFont="1" applyFill="1" applyBorder="1" applyAlignment="1">
      <alignment horizontal="center"/>
    </xf>
    <xf numFmtId="178" fontId="5" fillId="3" borderId="3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1">
          <a:gsLst>
            <a:gs pos="0">
              <a:srgbClr val="3E7FCD"/>
            </a:gs>
            <a:gs pos="100000">
              <a:srgbClr val="A3C2FF"/>
            </a:gs>
          </a:gsLst>
          <a:lin ang="16200000" scaled="0"/>
        </a:gradFill>
        <a:ln w="9525" cap="flat" cmpd="sng" algn="ctr">
          <a:solidFill>
            <a:srgbClr val="4A7DBA"/>
          </a:solidFill>
          <a:prstDash val="solid"/>
          <a:round/>
        </a:ln>
        <a:effectLst>
          <a:outerShdw dist="23000" dir="5400000" rotWithShape="0">
            <a:srgbClr val="000000">
              <a:alpha val="35000"/>
            </a:srgbClr>
          </a:outerShdw>
        </a:effectLst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7"/>
  <sheetViews>
    <sheetView tabSelected="1" workbookViewId="0">
      <selection activeCell="L17" sqref="L17"/>
    </sheetView>
  </sheetViews>
  <sheetFormatPr defaultColWidth="9" defaultRowHeight="14.25" x14ac:dyDescent="0.15"/>
  <cols>
    <col min="2" max="2" width="32.375" customWidth="1"/>
    <col min="3" max="3" width="48.875" customWidth="1"/>
    <col min="4" max="4" width="15.625" style="2" customWidth="1"/>
    <col min="5" max="5" width="14" style="2" customWidth="1"/>
    <col min="6" max="6" width="12.5" style="2" customWidth="1"/>
    <col min="7" max="7" width="32.5" customWidth="1"/>
    <col min="8" max="8" width="24.5" customWidth="1"/>
    <col min="9" max="9" width="14.125" customWidth="1"/>
    <col min="10" max="10" width="13.125" customWidth="1"/>
  </cols>
  <sheetData>
    <row r="1" spans="2:10" s="1" customFormat="1" ht="32.1" customHeight="1" x14ac:dyDescent="0.15">
      <c r="B1" s="3" t="s">
        <v>0</v>
      </c>
      <c r="C1" s="4" t="s">
        <v>1</v>
      </c>
      <c r="D1" s="2"/>
      <c r="E1" s="2"/>
      <c r="F1" s="2"/>
    </row>
    <row r="2" spans="2:10" x14ac:dyDescent="0.15">
      <c r="B2" s="5"/>
      <c r="C2" s="6"/>
    </row>
    <row r="3" spans="2:10" x14ac:dyDescent="0.15">
      <c r="B3" s="5" t="s">
        <v>2</v>
      </c>
      <c r="C3" s="7">
        <v>0.85</v>
      </c>
    </row>
    <row r="4" spans="2:10" x14ac:dyDescent="0.15">
      <c r="B4" s="5" t="s">
        <v>3</v>
      </c>
      <c r="C4" s="7">
        <v>0.06</v>
      </c>
    </row>
    <row r="5" spans="2:10" x14ac:dyDescent="0.15">
      <c r="B5" s="5" t="s">
        <v>4</v>
      </c>
      <c r="C5" s="7">
        <v>0.02</v>
      </c>
    </row>
    <row r="6" spans="2:10" x14ac:dyDescent="0.15">
      <c r="B6" s="5" t="s">
        <v>5</v>
      </c>
      <c r="C6" s="7">
        <v>0.05</v>
      </c>
    </row>
    <row r="7" spans="2:10" x14ac:dyDescent="0.15">
      <c r="B7" s="5"/>
      <c r="C7" s="6"/>
    </row>
    <row r="8" spans="2:10" ht="21" customHeight="1" x14ac:dyDescent="0.15">
      <c r="B8" s="8" t="s">
        <v>6</v>
      </c>
      <c r="C8" s="9">
        <f>C3*(1-(C4+C5+C6))</f>
        <v>0.73949999999999994</v>
      </c>
    </row>
    <row r="10" spans="2:10" ht="30" customHeight="1" x14ac:dyDescent="0.15">
      <c r="B10" s="10" t="s">
        <v>7</v>
      </c>
      <c r="C10" s="11" t="s">
        <v>8</v>
      </c>
      <c r="D10" s="11" t="s">
        <v>9</v>
      </c>
      <c r="E10" s="11" t="s">
        <v>10</v>
      </c>
      <c r="F10" s="11" t="s">
        <v>11</v>
      </c>
      <c r="G10" s="11" t="s">
        <v>12</v>
      </c>
      <c r="H10" s="12" t="s">
        <v>13</v>
      </c>
      <c r="I10" s="28" t="s">
        <v>14</v>
      </c>
      <c r="J10" s="29"/>
    </row>
    <row r="11" spans="2:10" ht="18.75" x14ac:dyDescent="0.25">
      <c r="B11" s="13" t="s">
        <v>15</v>
      </c>
      <c r="C11" s="14"/>
      <c r="D11" s="15">
        <v>19</v>
      </c>
      <c r="E11" s="15">
        <v>29</v>
      </c>
      <c r="F11" s="16" t="s">
        <v>16</v>
      </c>
      <c r="G11" s="17">
        <f>D11*$C$8</f>
        <v>14.0505</v>
      </c>
      <c r="H11" s="18">
        <f>E11*$C$8</f>
        <v>21.445499999999999</v>
      </c>
      <c r="I11" s="24">
        <v>11.45</v>
      </c>
      <c r="J11" s="25">
        <v>21.45</v>
      </c>
    </row>
    <row r="12" spans="2:10" ht="18.75" x14ac:dyDescent="0.25">
      <c r="B12" s="13" t="s">
        <v>17</v>
      </c>
      <c r="C12" s="19"/>
      <c r="D12" s="15">
        <v>29</v>
      </c>
      <c r="E12" s="15">
        <v>39</v>
      </c>
      <c r="F12" s="16" t="s">
        <v>18</v>
      </c>
      <c r="G12" s="17">
        <f t="shared" ref="G12" si="0">D12*$C$8</f>
        <v>21.445499999999999</v>
      </c>
      <c r="H12" s="18">
        <f t="shared" ref="H12" si="1">E12*$C$8</f>
        <v>28.840499999999999</v>
      </c>
      <c r="I12" s="24">
        <v>18.8</v>
      </c>
      <c r="J12" s="25">
        <v>28.84</v>
      </c>
    </row>
    <row r="13" spans="2:10" ht="18.75" x14ac:dyDescent="0.25">
      <c r="B13" s="13" t="s">
        <v>19</v>
      </c>
      <c r="C13" s="14"/>
      <c r="D13" s="15">
        <v>39</v>
      </c>
      <c r="E13" s="15">
        <v>49</v>
      </c>
      <c r="F13" s="16" t="s">
        <v>20</v>
      </c>
      <c r="G13" s="17">
        <f>D13*$C$8</f>
        <v>28.840499999999999</v>
      </c>
      <c r="H13" s="18">
        <f>E13*$C$8</f>
        <v>36.235499999999995</v>
      </c>
      <c r="I13" s="24">
        <v>26.24</v>
      </c>
      <c r="J13" s="25">
        <v>36.24</v>
      </c>
    </row>
    <row r="14" spans="2:10" ht="18.75" x14ac:dyDescent="0.25">
      <c r="B14" s="13" t="s">
        <v>21</v>
      </c>
      <c r="C14" s="14"/>
      <c r="D14" s="20">
        <v>88</v>
      </c>
      <c r="E14" s="21"/>
      <c r="F14" s="16">
        <v>180</v>
      </c>
      <c r="G14" s="22">
        <f>D14*$C$8</f>
        <v>65.075999999999993</v>
      </c>
      <c r="H14" s="23"/>
      <c r="I14" s="26">
        <v>65.08</v>
      </c>
      <c r="J14" s="27"/>
    </row>
    <row r="15" spans="2:10" ht="18.75" x14ac:dyDescent="0.25">
      <c r="B15" s="13" t="s">
        <v>22</v>
      </c>
      <c r="C15" s="14"/>
      <c r="D15" s="20">
        <v>68</v>
      </c>
      <c r="E15" s="21"/>
      <c r="F15" s="16">
        <v>150</v>
      </c>
      <c r="G15" s="22">
        <f t="shared" ref="G15" si="2">D15*$C$8</f>
        <v>50.285999999999994</v>
      </c>
      <c r="H15" s="23"/>
      <c r="I15" s="26">
        <v>50.29</v>
      </c>
      <c r="J15" s="27"/>
    </row>
    <row r="16" spans="2:10" ht="18.75" x14ac:dyDescent="0.25">
      <c r="B16" s="13" t="s">
        <v>23</v>
      </c>
      <c r="C16" s="14"/>
      <c r="D16" s="20">
        <v>268</v>
      </c>
      <c r="E16" s="21"/>
      <c r="F16" s="16">
        <v>500</v>
      </c>
      <c r="G16" s="22">
        <f>D16*$C$8</f>
        <v>198.18599999999998</v>
      </c>
      <c r="H16" s="23"/>
      <c r="I16" s="26">
        <v>198.19</v>
      </c>
      <c r="J16" s="27"/>
    </row>
    <row r="17" spans="2:10" ht="18.75" x14ac:dyDescent="0.25">
      <c r="B17" s="13" t="s">
        <v>24</v>
      </c>
      <c r="C17" s="14"/>
      <c r="D17" s="20">
        <v>268</v>
      </c>
      <c r="E17" s="21"/>
      <c r="F17" s="16">
        <v>560</v>
      </c>
      <c r="G17" s="22">
        <f>D17*$C$8</f>
        <v>198.18599999999998</v>
      </c>
      <c r="H17" s="23"/>
      <c r="I17" s="26">
        <v>198.19</v>
      </c>
      <c r="J17" s="27"/>
    </row>
    <row r="18" spans="2:10" ht="18.75" x14ac:dyDescent="0.25">
      <c r="B18" s="13"/>
      <c r="C18" s="14"/>
      <c r="D18" s="20">
        <v>38</v>
      </c>
      <c r="E18" s="21"/>
      <c r="F18" s="16"/>
      <c r="G18" s="22"/>
      <c r="H18" s="23"/>
      <c r="I18" s="26">
        <v>28.1</v>
      </c>
      <c r="J18" s="27"/>
    </row>
    <row r="19" spans="2:10" ht="18.75" x14ac:dyDescent="0.25">
      <c r="B19" s="13"/>
      <c r="C19" s="14"/>
      <c r="D19" s="20"/>
      <c r="E19" s="21"/>
      <c r="F19" s="16"/>
      <c r="G19" s="22"/>
      <c r="H19" s="23"/>
      <c r="I19" s="26"/>
      <c r="J19" s="27"/>
    </row>
    <row r="20" spans="2:10" ht="18.75" x14ac:dyDescent="0.25">
      <c r="B20" s="13" t="s">
        <v>25</v>
      </c>
      <c r="C20" s="14"/>
      <c r="D20" s="20">
        <v>20</v>
      </c>
      <c r="E20" s="21"/>
      <c r="F20" s="16">
        <v>40</v>
      </c>
      <c r="G20" s="22">
        <f>D20*$C$8</f>
        <v>14.79</v>
      </c>
      <c r="H20" s="23"/>
      <c r="I20" s="26">
        <v>14.09</v>
      </c>
      <c r="J20" s="27"/>
    </row>
    <row r="21" spans="2:10" ht="18.75" x14ac:dyDescent="0.25">
      <c r="B21" s="13" t="s">
        <v>26</v>
      </c>
      <c r="C21" s="14"/>
      <c r="D21" s="20">
        <v>58</v>
      </c>
      <c r="E21" s="21"/>
      <c r="F21" s="16">
        <v>150</v>
      </c>
      <c r="G21" s="22">
        <f>D21*$C$8</f>
        <v>42.890999999999998</v>
      </c>
      <c r="H21" s="23"/>
      <c r="I21" s="26">
        <v>42.89</v>
      </c>
      <c r="J21" s="27"/>
    </row>
    <row r="27" spans="2:10" x14ac:dyDescent="0.15">
      <c r="E27" s="2" t="s">
        <v>27</v>
      </c>
    </row>
  </sheetData>
  <mergeCells count="25">
    <mergeCell ref="D20:E20"/>
    <mergeCell ref="G20:H20"/>
    <mergeCell ref="I20:J20"/>
    <mergeCell ref="D21:E21"/>
    <mergeCell ref="G21:H21"/>
    <mergeCell ref="I21:J21"/>
    <mergeCell ref="D18:E18"/>
    <mergeCell ref="G18:H18"/>
    <mergeCell ref="I18:J18"/>
    <mergeCell ref="D19:E19"/>
    <mergeCell ref="G19:H19"/>
    <mergeCell ref="I19:J19"/>
    <mergeCell ref="D16:E16"/>
    <mergeCell ref="G16:H16"/>
    <mergeCell ref="I16:J16"/>
    <mergeCell ref="D17:E17"/>
    <mergeCell ref="G17:H17"/>
    <mergeCell ref="I17:J17"/>
    <mergeCell ref="I10:J10"/>
    <mergeCell ref="D14:E14"/>
    <mergeCell ref="G14:H14"/>
    <mergeCell ref="I14:J14"/>
    <mergeCell ref="D15:E15"/>
    <mergeCell ref="G15:H15"/>
    <mergeCell ref="I15:J15"/>
  </mergeCells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Trinstan Chen</dc:creator>
  <cp:lastModifiedBy>tclsevers</cp:lastModifiedBy>
  <dcterms:created xsi:type="dcterms:W3CDTF">2015-05-19T10:42:00Z</dcterms:created>
  <dcterms:modified xsi:type="dcterms:W3CDTF">2015-08-01T02:21:06Z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2052-9.1.0.5132</vt:lpwstr>
  </property>
</Properties>
</file>